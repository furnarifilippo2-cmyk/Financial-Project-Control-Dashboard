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 Economico" sheetId="1" r:id="rId5"/>
    <sheet state="visible" name="Analisi Scostamenti" sheetId="2" r:id="rId6"/>
    <sheet state="visible" name="Cash Flow" sheetId="3" r:id="rId7"/>
    <sheet state="visible" name="Controllo Progetti" sheetId="4" r:id="rId8"/>
    <sheet state="visible" name="Tabell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Valori positivi delle vendite (Ricavo Tot.)</t>
      </text>
    </comment>
    <comment authorId="0" ref="A17">
      <text>
        <t xml:space="preserve">Ricchezza prima di pagare il personale</t>
      </text>
    </comment>
    <comment authorId="0" ref="A19">
      <text>
        <t xml:space="preserve">(Earnings Before Interest, Taxes, Depreciation, and Amortization).  Indica se l'attività genera cassa!!
</t>
      </text>
    </comment>
    <comment authorId="0" ref="A20">
      <text>
        <t xml:space="preserve">Denaro rimanente per pagare, tasse, investimenti, ammortamenti..
In questo caso su 100 euro spesi, me ne rimangono 35, maggiore è tale numero, migliore è l'effcenza dell'azienda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Ho venduto meno del previsto?
Ho fatto troppi sconti?</t>
      </text>
    </comment>
    <comment authorId="0" ref="D5">
      <text>
        <t xml:space="preserve">Il fornitore ha fatto la cresta?
Il costo delle materie prime è aumentato?</t>
      </text>
    </comment>
    <comment authorId="0" ref="D6">
      <text>
        <t xml:space="preserve">Bollette gonfie?
Consulenze extra non previste?</t>
      </text>
    </comment>
    <comment authorId="0" ref="B12">
      <text>
        <t xml:space="preserve">Sono stati persi 17.000 euro di margine rispetto ai piani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Questi 30.000€ non sono entrati in banca</t>
      </text>
    </comment>
    <comment authorId="0" ref="I4">
      <text>
        <t xml:space="preserve">Soldi rimasti in cassa a fine mese</t>
      </text>
    </comment>
    <comment authorId="0" ref="I6">
      <text>
        <t xml:space="preserve">I debiti più alti a fine mese, significa che non sono ancora stati pagati i fornitori e che quindi i soldi sono ancora in cassa, quindi 25.000 dentro in cassa</t>
      </text>
    </comment>
    <comment authorId="0" ref="D12">
      <text>
        <t xml:space="preserve">Soldi "congelati"</t>
      </text>
    </comment>
    <comment authorId="0" ref="D13">
      <text>
        <t xml:space="preserve">Pur avendo 35k di utile, nelle casse ne sono entrati 28k. Quindi lo scopo è portare quel valore più vicino allo zero possibile, in che modo?
1) Farmi pagare i crediti
2) Gestire meglio il magazzino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Dice se un singolo progetto sta guadagnando o perdendo soldi rispetto a quanto lavoro è stato effettivamente fatto.</t>
      </text>
    </comment>
    <comment authorId="0" ref="D3">
      <text>
        <t xml:space="preserve">Per ogni euro speso, produco 0,54 euro di valore. 
Ovviamente questo valore deve essere sempre &gt;= 1 per non andare in perdita</t>
      </text>
    </comment>
    <comment authorId="0" ref="A4">
      <text>
        <t xml:space="preserve">Ciò che dovevamo spendere fino ad oggi</t>
      </text>
    </comment>
    <comment authorId="0" ref="D4">
      <text>
        <t xml:space="preserve">Il progetto procede al 70% della velocità prevista, perciò siamo in ritardo!</t>
      </text>
    </comment>
    <comment authorId="0" ref="A5">
      <text>
        <t xml:space="preserve">La somma di tutti i costi del progetto (servizi, materiali, personale)</t>
      </text>
    </comment>
    <comment authorId="0" ref="D5">
      <text>
        <t xml:space="preserve">Qunato mi costerà il progetto alla fine, se continuiamo su questa rotta, ovvero mi costerà quasi il doppio
</t>
      </text>
    </comment>
    <comment authorId="0" ref="A6">
      <text>
        <t xml:space="preserve">Valore completato fino adesso, supponiamo un 44% completato, che equivale a 35.000€
</t>
      </text>
    </comment>
  </commentList>
</comments>
</file>

<file path=xl/sharedStrings.xml><?xml version="1.0" encoding="utf-8"?>
<sst xmlns="http://schemas.openxmlformats.org/spreadsheetml/2006/main" count="142" uniqueCount="88">
  <si>
    <t># Conto Economico effettivo di Gennaio 2026 #</t>
  </si>
  <si>
    <t>Data</t>
  </si>
  <si>
    <t>Codice Conto</t>
  </si>
  <si>
    <t>Descrizione Conto</t>
  </si>
  <si>
    <t>Centro di Costo</t>
  </si>
  <si>
    <t>Importo (€)</t>
  </si>
  <si>
    <t>Macro categoria</t>
  </si>
  <si>
    <t>Categoria</t>
  </si>
  <si>
    <t>Ricavi Vendite Italia</t>
  </si>
  <si>
    <t>Commerciale</t>
  </si>
  <si>
    <t>Ricavi</t>
  </si>
  <si>
    <t>Ricavi Vendite Estero</t>
  </si>
  <si>
    <t>Acquisto Materie Prime</t>
  </si>
  <si>
    <t>Produzione</t>
  </si>
  <si>
    <t>Costi materie</t>
  </si>
  <si>
    <t>Acquisto Semilavorati</t>
  </si>
  <si>
    <t>Consulenze Legali</t>
  </si>
  <si>
    <t>Amministrazione</t>
  </si>
  <si>
    <t>Costi servizi</t>
  </si>
  <si>
    <t>Energia Elettrica</t>
  </si>
  <si>
    <t>Manutenzioni Macchinari</t>
  </si>
  <si>
    <t>Stipendi e Salari</t>
  </si>
  <si>
    <t>Risorse Umane</t>
  </si>
  <si>
    <t>Costo personale</t>
  </si>
  <si>
    <t>Ammortamento Impianti</t>
  </si>
  <si>
    <t>Ammortamenti</t>
  </si>
  <si>
    <t>Valore produzione</t>
  </si>
  <si>
    <t>Costi esterni</t>
  </si>
  <si>
    <t>Valore aggiunto</t>
  </si>
  <si>
    <t>Ebitda</t>
  </si>
  <si>
    <t>Ebitda Margin %</t>
  </si>
  <si>
    <t># Analisi Scostamenti da budget previsto #</t>
  </si>
  <si>
    <t>Macro Categoria</t>
  </si>
  <si>
    <t>Budget 2026</t>
  </si>
  <si>
    <t>Actual 2026</t>
  </si>
  <si>
    <t>Scostamento Assoluto</t>
  </si>
  <si>
    <t>Scostamento %</t>
  </si>
  <si>
    <t>Costi materiali</t>
  </si>
  <si>
    <t xml:space="preserve">Costo personale </t>
  </si>
  <si>
    <t>EBITDA prevista</t>
  </si>
  <si>
    <t>EBITDA attuale</t>
  </si>
  <si>
    <t>Margine</t>
  </si>
  <si>
    <t xml:space="preserve">N.B.  Il CCN (Capitale Circolante Netto) è formato da: </t>
  </si>
  <si>
    <r>
      <rPr>
        <rFont val="Arial"/>
        <color theme="1"/>
      </rPr>
      <t xml:space="preserve">Calcolo </t>
    </r>
    <r>
      <rPr>
        <rFont val="Arial"/>
        <b/>
        <color theme="1"/>
      </rPr>
      <t>ΔCCN:</t>
    </r>
  </si>
  <si>
    <t>1) Crediti commerciali: soldi dovuti dai clienti</t>
  </si>
  <si>
    <r>
      <rPr>
        <rFont val="Arial"/>
        <color theme="1"/>
      </rPr>
      <t xml:space="preserve">1) </t>
    </r>
    <r>
      <rPr>
        <rFont val="Arial"/>
        <b/>
        <color theme="1"/>
      </rPr>
      <t>ΔCrediti:</t>
    </r>
    <r>
      <rPr>
        <rFont val="Arial"/>
        <color theme="1"/>
      </rPr>
      <t xml:space="preserve"> 80.000€ (31°Gen) - 50.000€ (1°Gen)</t>
    </r>
  </si>
  <si>
    <t xml:space="preserve">2) Rimanenze (magazzino): merce ferma già pagata </t>
  </si>
  <si>
    <t>3) Debiti commerciali: soldi dovuti ai fornitori</t>
  </si>
  <si>
    <r>
      <rPr>
        <rFont val="Arial"/>
        <color theme="1"/>
      </rPr>
      <t xml:space="preserve">2) </t>
    </r>
    <r>
      <rPr>
        <rFont val="Arial"/>
        <b/>
        <color theme="1"/>
      </rPr>
      <t xml:space="preserve">Rimanenze: </t>
    </r>
    <r>
      <rPr>
        <rFont val="Arial"/>
        <color theme="1"/>
      </rPr>
      <t>12.000€ (31°Gen) - 10.000€ (1°Gen)</t>
    </r>
  </si>
  <si>
    <r>
      <rPr>
        <rFont val="Arial"/>
        <color theme="1"/>
      </rPr>
      <t xml:space="preserve">3) </t>
    </r>
    <r>
      <rPr>
        <rFont val="Arial"/>
        <b/>
        <color theme="1"/>
      </rPr>
      <t>ΔDebiti:</t>
    </r>
    <r>
      <rPr>
        <rFont val="Arial"/>
        <color theme="1"/>
      </rPr>
      <t xml:space="preserve"> 45.000€ (31°Gen) - 20.000€ (1°Gen)</t>
    </r>
  </si>
  <si>
    <t xml:space="preserve">ΔCCN = ΔCrediti + Rimanenze - ΔDebiti </t>
  </si>
  <si>
    <t>CASH FLOW OPERATIVO =</t>
  </si>
  <si>
    <t>EBTIDA</t>
  </si>
  <si>
    <t>-</t>
  </si>
  <si>
    <t xml:space="preserve"> ΔCCN</t>
  </si>
  <si>
    <t>Cash Flow</t>
  </si>
  <si>
    <r>
      <rPr>
        <rFont val="Arial"/>
        <b/>
        <color theme="1"/>
      </rPr>
      <t xml:space="preserve"># EVM: </t>
    </r>
    <r>
      <rPr>
        <rFont val="Arial"/>
        <b/>
        <i/>
        <color theme="1"/>
      </rPr>
      <t>Earned Value Management</t>
    </r>
    <r>
      <rPr>
        <rFont val="Arial"/>
        <b/>
        <color theme="1"/>
      </rPr>
      <t xml:space="preserve"> #</t>
    </r>
  </si>
  <si>
    <t>BAC(Budget Totale)</t>
  </si>
  <si>
    <t>CPI (Cost Performance Index)</t>
  </si>
  <si>
    <t>PV (Planned Value)</t>
  </si>
  <si>
    <t>SPI (Schedule Performance Index)</t>
  </si>
  <si>
    <t>AC (Actual Cost)</t>
  </si>
  <si>
    <t>EAC (Estimate At Completion)</t>
  </si>
  <si>
    <t>EV (Earned Value)</t>
  </si>
  <si>
    <r>
      <rPr>
        <rFont val="Arial"/>
        <b/>
        <color theme="1"/>
      </rPr>
      <t>N.B.</t>
    </r>
    <r>
      <rPr>
        <rFont val="Arial"/>
        <color theme="1"/>
      </rPr>
      <t xml:space="preserve"> Dall'analisi, risulta che il progetto è critico, </t>
    </r>
  </si>
  <si>
    <t>va effettuato al più presto un cambio di rotta!</t>
  </si>
  <si>
    <r>
      <rPr>
        <rFont val="Arial"/>
        <b/>
        <color theme="1"/>
      </rPr>
      <t>1)</t>
    </r>
    <r>
      <rPr>
        <rFont val="Arial"/>
        <color theme="1"/>
      </rPr>
      <t xml:space="preserve"> Stiamo producendo valore per soli </t>
    </r>
    <r>
      <rPr>
        <rFont val="Arial"/>
        <b/>
        <color theme="1"/>
      </rPr>
      <t xml:space="preserve">54 centesimi per </t>
    </r>
  </si>
  <si>
    <r>
      <rPr>
        <rFont val="Arial"/>
        <b/>
        <color theme="1"/>
      </rPr>
      <t xml:space="preserve">    ogni euro speso</t>
    </r>
    <r>
      <rPr>
        <rFont val="Arial"/>
        <color theme="1"/>
      </rPr>
      <t xml:space="preserve"> (CPI 0,54).</t>
    </r>
  </si>
  <si>
    <r>
      <rPr>
        <rFont val="Arial"/>
        <b/>
        <color theme="1"/>
      </rPr>
      <t>2)</t>
    </r>
    <r>
      <rPr>
        <rFont val="Arial"/>
        <color theme="1"/>
      </rPr>
      <t xml:space="preserve"> Siamo in </t>
    </r>
    <r>
      <rPr>
        <rFont val="Arial"/>
        <b/>
        <color theme="1"/>
      </rPr>
      <t>ritardo del 30%</t>
    </r>
    <r>
      <rPr>
        <rFont val="Arial"/>
        <color theme="1"/>
      </rPr>
      <t xml:space="preserve"> sulla tabella di marcia (SPI 0,70).</t>
    </r>
  </si>
  <si>
    <r>
      <rPr>
        <rFont val="Arial"/>
        <b/>
        <color theme="1"/>
      </rPr>
      <t>3)</t>
    </r>
    <r>
      <rPr>
        <rFont val="Arial"/>
        <color theme="1"/>
      </rPr>
      <t xml:space="preserve"> Se non interveniamo il </t>
    </r>
    <r>
      <rPr>
        <rFont val="Arial"/>
        <b/>
        <color theme="1"/>
      </rPr>
      <t>costo finale previsto</t>
    </r>
    <r>
      <rPr>
        <rFont val="Arial"/>
        <color theme="1"/>
      </rPr>
      <t xml:space="preserve"> (EAC) sarà di </t>
    </r>
  </si>
  <si>
    <r>
      <rPr>
        <rFont val="Arial"/>
        <color theme="1"/>
      </rPr>
      <t xml:space="preserve">circa </t>
    </r>
    <r>
      <rPr>
        <rFont val="Arial"/>
        <b/>
        <color theme="1"/>
      </rPr>
      <t>148.000 €</t>
    </r>
    <r>
      <rPr>
        <rFont val="Arial"/>
        <color theme="1"/>
      </rPr>
      <t>,  quasi il doppio del budget iniziale di 80.000 €.</t>
    </r>
  </si>
  <si>
    <t>Voce</t>
  </si>
  <si>
    <t>Data Inizio 01/01</t>
  </si>
  <si>
    <t>Data fine 31/01</t>
  </si>
  <si>
    <t xml:space="preserve">Progetto </t>
  </si>
  <si>
    <t xml:space="preserve">BAC </t>
  </si>
  <si>
    <t xml:space="preserve">PV </t>
  </si>
  <si>
    <t xml:space="preserve">AC </t>
  </si>
  <si>
    <t xml:space="preserve">EV </t>
  </si>
  <si>
    <t>Crediti</t>
  </si>
  <si>
    <t>Consulenza Software CS</t>
  </si>
  <si>
    <t>Rimanenze</t>
  </si>
  <si>
    <t>Sviluppo App Mobile</t>
  </si>
  <si>
    <t>Debiti</t>
  </si>
  <si>
    <t>Installazione Server</t>
  </si>
  <si>
    <t>Campagna Marketing</t>
  </si>
  <si>
    <t>Rete Commerciale</t>
  </si>
  <si>
    <t>Restyling Uffici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</si>
</sst>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€-2]\ #,##0"/>
    <numFmt numFmtId="166" formatCode="[$€-2]\ #,##0.00"/>
  </numFmts>
  <fonts count="9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FFFFFF"/>
      <name val="Arial"/>
      <scheme val="minor"/>
    </font>
    <font/>
    <font>
      <b/>
      <color theme="1"/>
      <name val="&quot;Google Sans Text&quot;"/>
    </font>
    <font>
      <color theme="1"/>
      <name val="&quot;Google Sans Text&quot;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3" numFmtId="0" xfId="0" applyFont="1"/>
    <xf borderId="0" fillId="3" fontId="2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3" fillId="4" fontId="2" numFmtId="0" xfId="0" applyAlignment="1" applyBorder="1" applyFont="1">
      <alignment readingOrder="0"/>
    </xf>
    <xf borderId="1" fillId="5" fontId="1" numFmtId="0" xfId="0" applyAlignment="1" applyBorder="1" applyFill="1" applyFont="1">
      <alignment horizontal="center" readingOrder="0"/>
    </xf>
    <xf borderId="3" fillId="5" fontId="2" numFmtId="0" xfId="0" applyAlignment="1" applyBorder="1" applyFont="1">
      <alignment horizontal="center" readingOrder="0"/>
    </xf>
    <xf borderId="4" fillId="6" fontId="4" numFmtId="164" xfId="0" applyAlignment="1" applyBorder="1" applyFill="1" applyFont="1" applyNumberFormat="1">
      <alignment horizontal="center" readingOrder="0"/>
    </xf>
    <xf borderId="0" fillId="6" fontId="4" numFmtId="0" xfId="0" applyAlignment="1" applyFon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5" fillId="6" fontId="3" numFmtId="0" xfId="0" applyAlignment="1" applyBorder="1" applyFont="1">
      <alignment horizontal="center"/>
    </xf>
    <xf borderId="4" fillId="7" fontId="4" numFmtId="0" xfId="0" applyAlignment="1" applyBorder="1" applyFill="1" applyFont="1">
      <alignment horizontal="center" readingOrder="0"/>
    </xf>
    <xf borderId="5" fillId="7" fontId="3" numFmtId="0" xfId="0" applyAlignment="1" applyBorder="1" applyFont="1">
      <alignment horizontal="center" readingOrder="0"/>
    </xf>
    <xf borderId="6" fillId="6" fontId="4" numFmtId="164" xfId="0" applyAlignment="1" applyBorder="1" applyFont="1" applyNumberFormat="1">
      <alignment horizontal="center" readingOrder="0"/>
    </xf>
    <xf borderId="7" fillId="6" fontId="4" numFmtId="0" xfId="0" applyAlignment="1" applyBorder="1" applyFont="1">
      <alignment horizontal="center" readingOrder="0"/>
    </xf>
    <xf borderId="7" fillId="6" fontId="4" numFmtId="165" xfId="0" applyAlignment="1" applyBorder="1" applyFont="1" applyNumberFormat="1">
      <alignment horizontal="center" readingOrder="0"/>
    </xf>
    <xf borderId="8" fillId="6" fontId="3" numFmtId="0" xfId="0" applyAlignment="1" applyBorder="1" applyFont="1">
      <alignment horizontal="center"/>
    </xf>
    <xf borderId="6" fillId="7" fontId="4" numFmtId="0" xfId="0" applyAlignment="1" applyBorder="1" applyFont="1">
      <alignment horizontal="center" readingOrder="0"/>
    </xf>
    <xf borderId="8" fillId="7" fontId="3" numFmtId="0" xfId="0" applyAlignment="1" applyBorder="1" applyFont="1">
      <alignment horizontal="center" readingOrder="0"/>
    </xf>
    <xf borderId="1" fillId="8" fontId="2" numFmtId="0" xfId="0" applyAlignment="1" applyBorder="1" applyFill="1" applyFont="1">
      <alignment readingOrder="0"/>
    </xf>
    <xf borderId="3" fillId="9" fontId="3" numFmtId="166" xfId="0" applyAlignment="1" applyBorder="1" applyFill="1" applyFont="1" applyNumberFormat="1">
      <alignment horizontal="right"/>
    </xf>
    <xf borderId="4" fillId="8" fontId="2" numFmtId="0" xfId="0" applyAlignment="1" applyBorder="1" applyFont="1">
      <alignment readingOrder="0"/>
    </xf>
    <xf borderId="5" fillId="9" fontId="3" numFmtId="166" xfId="0" applyAlignment="1" applyBorder="1" applyFont="1" applyNumberFormat="1">
      <alignment horizontal="right"/>
    </xf>
    <xf borderId="9" fillId="8" fontId="2" numFmtId="0" xfId="0" applyAlignment="1" applyBorder="1" applyFont="1">
      <alignment readingOrder="0"/>
    </xf>
    <xf borderId="5" fillId="9" fontId="2" numFmtId="166" xfId="0" applyAlignment="1" applyBorder="1" applyFont="1" applyNumberFormat="1">
      <alignment horizontal="right"/>
    </xf>
    <xf borderId="10" fillId="8" fontId="2" numFmtId="0" xfId="0" applyAlignment="1" applyBorder="1" applyFont="1">
      <alignment readingOrder="0"/>
    </xf>
    <xf borderId="8" fillId="9" fontId="2" numFmtId="10" xfId="0" applyAlignment="1" applyBorder="1" applyFont="1" applyNumberFormat="1">
      <alignment horizontal="right"/>
    </xf>
    <xf borderId="0" fillId="2" fontId="2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10" fontId="5" numFmtId="0" xfId="0" applyAlignment="1" applyFill="1" applyFont="1">
      <alignment horizontal="center" readingOrder="0"/>
    </xf>
    <xf borderId="0" fillId="0" fontId="3" numFmtId="10" xfId="0" applyAlignment="1" applyFont="1" applyNumberFormat="1">
      <alignment readingOrder="0"/>
    </xf>
    <xf borderId="0" fillId="11" fontId="3" numFmtId="0" xfId="0" applyAlignment="1" applyFill="1" applyFont="1">
      <alignment readingOrder="0"/>
    </xf>
    <xf borderId="0" fillId="11" fontId="3" numFmtId="165" xfId="0" applyAlignment="1" applyFont="1" applyNumberFormat="1">
      <alignment readingOrder="0"/>
    </xf>
    <xf borderId="0" fillId="11" fontId="3" numFmtId="165" xfId="0" applyFont="1" applyNumberFormat="1"/>
    <xf borderId="0" fillId="11" fontId="3" numFmtId="10" xfId="0" applyFont="1" applyNumberFormat="1"/>
    <xf borderId="0" fillId="8" fontId="3" numFmtId="0" xfId="0" applyAlignment="1" applyFont="1">
      <alignment readingOrder="0"/>
    </xf>
    <xf borderId="0" fillId="9" fontId="3" numFmtId="165" xfId="0" applyFont="1" applyNumberFormat="1"/>
    <xf borderId="0" fillId="9" fontId="3" numFmtId="10" xfId="0" applyFont="1" applyNumberFormat="1"/>
    <xf borderId="11" fillId="8" fontId="2" numFmtId="0" xfId="0" applyAlignment="1" applyBorder="1" applyFont="1">
      <alignment readingOrder="0"/>
    </xf>
    <xf borderId="11" fillId="9" fontId="2" numFmtId="165" xfId="0" applyBorder="1" applyFont="1" applyNumberFormat="1"/>
    <xf borderId="11" fillId="9" fontId="2" numFmtId="10" xfId="0" applyBorder="1" applyFont="1" applyNumberFormat="1"/>
    <xf borderId="1" fillId="11" fontId="2" numFmtId="0" xfId="0" applyAlignment="1" applyBorder="1" applyFont="1">
      <alignment readingOrder="0"/>
    </xf>
    <xf borderId="2" fillId="11" fontId="2" numFmtId="0" xfId="0" applyAlignment="1" applyBorder="1" applyFont="1">
      <alignment readingOrder="0"/>
    </xf>
    <xf borderId="3" fillId="11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6" fontId="3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11" fontId="3" numFmtId="0" xfId="0" applyAlignment="1" applyBorder="1" applyFont="1">
      <alignment readingOrder="0"/>
    </xf>
    <xf borderId="0" fillId="11" fontId="3" numFmtId="0" xfId="0" applyFont="1"/>
    <xf borderId="5" fillId="11" fontId="3" numFmtId="0" xfId="0" applyBorder="1" applyFont="1"/>
    <xf borderId="4" fillId="0" fontId="3" numFmtId="166" xfId="0" applyAlignment="1" applyBorder="1" applyFont="1" applyNumberFormat="1">
      <alignment readingOrder="0"/>
    </xf>
    <xf borderId="5" fillId="0" fontId="3" numFmtId="165" xfId="0" applyAlignment="1" applyBorder="1" applyFont="1" applyNumberFormat="1">
      <alignment readingOrder="0"/>
    </xf>
    <xf borderId="4" fillId="0" fontId="3" numFmtId="0" xfId="0" applyBorder="1" applyFont="1"/>
    <xf borderId="5" fillId="0" fontId="3" numFmtId="0" xfId="0" applyBorder="1" applyFont="1"/>
    <xf borderId="6" fillId="11" fontId="3" numFmtId="0" xfId="0" applyAlignment="1" applyBorder="1" applyFont="1">
      <alignment readingOrder="0"/>
    </xf>
    <xf borderId="7" fillId="11" fontId="3" numFmtId="0" xfId="0" applyBorder="1" applyFont="1"/>
    <xf borderId="8" fillId="11" fontId="3" numFmtId="0" xfId="0" applyBorder="1" applyFont="1"/>
    <xf borderId="4" fillId="0" fontId="3" numFmtId="0" xfId="0" applyAlignment="1" applyBorder="1" applyFont="1">
      <alignment readingOrder="0"/>
    </xf>
    <xf borderId="5" fillId="0" fontId="3" numFmtId="165" xfId="0" applyBorder="1" applyFont="1" applyNumberFormat="1"/>
    <xf borderId="6" fillId="6" fontId="2" numFmtId="0" xfId="0" applyAlignment="1" applyBorder="1" applyFont="1">
      <alignment readingOrder="0"/>
    </xf>
    <xf borderId="7" fillId="0" fontId="6" numFmtId="0" xfId="0" applyBorder="1" applyFont="1"/>
    <xf borderId="8" fillId="0" fontId="3" numFmtId="165" xfId="0" applyBorder="1" applyFont="1" applyNumberFormat="1"/>
    <xf borderId="0" fillId="7" fontId="2" numFmtId="0" xfId="0" applyAlignment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2" fontId="3" numFmtId="165" xfId="0" applyAlignment="1" applyFont="1" applyNumberFormat="1">
      <alignment horizontal="right"/>
    </xf>
    <xf borderId="0" fillId="13" fontId="3" numFmtId="0" xfId="0" applyAlignment="1" applyFill="1" applyFont="1">
      <alignment horizontal="center" readingOrder="0"/>
    </xf>
    <xf borderId="0" fillId="7" fontId="2" numFmtId="0" xfId="0" applyAlignment="1" applyFont="1">
      <alignment horizontal="left" readingOrder="0"/>
    </xf>
    <xf borderId="0" fillId="7" fontId="2" numFmtId="165" xfId="0" applyAlignment="1" applyFont="1" applyNumberFormat="1">
      <alignment horizontal="right" readingOrder="0"/>
    </xf>
    <xf borderId="0" fillId="14" fontId="3" numFmtId="0" xfId="0" applyAlignment="1" applyFill="1" applyFont="1">
      <alignment readingOrder="0"/>
    </xf>
    <xf borderId="0" fillId="6" fontId="3" numFmtId="165" xfId="0" applyAlignment="1" applyFont="1" applyNumberFormat="1">
      <alignment readingOrder="0"/>
    </xf>
    <xf borderId="0" fillId="15" fontId="2" numFmtId="0" xfId="0" applyAlignment="1" applyFill="1" applyFont="1">
      <alignment readingOrder="0"/>
    </xf>
    <xf borderId="0" fillId="9" fontId="3" numFmtId="2" xfId="0" applyFont="1" applyNumberFormat="1"/>
    <xf borderId="0" fillId="9" fontId="3" numFmtId="0" xfId="0" applyFont="1"/>
    <xf borderId="0" fillId="6" fontId="3" numFmtId="165" xfId="0" applyFont="1" applyNumberFormat="1"/>
    <xf borderId="1" fillId="12" fontId="3" numFmtId="0" xfId="0" applyAlignment="1" applyBorder="1" applyFont="1">
      <alignment horizontal="left" readingOrder="0"/>
    </xf>
    <xf borderId="2" fillId="12" fontId="3" numFmtId="0" xfId="0" applyAlignment="1" applyBorder="1" applyFont="1">
      <alignment horizontal="left"/>
    </xf>
    <xf borderId="3" fillId="12" fontId="3" numFmtId="0" xfId="0" applyAlignment="1" applyBorder="1" applyFont="1">
      <alignment horizontal="left"/>
    </xf>
    <xf borderId="4" fillId="12" fontId="3" numFmtId="0" xfId="0" applyAlignment="1" applyBorder="1" applyFont="1">
      <alignment horizontal="left" readingOrder="0"/>
    </xf>
    <xf borderId="0" fillId="12" fontId="3" numFmtId="0" xfId="0" applyAlignment="1" applyFont="1">
      <alignment horizontal="left"/>
    </xf>
    <xf borderId="5" fillId="12" fontId="3" numFmtId="0" xfId="0" applyAlignment="1" applyBorder="1" applyFont="1">
      <alignment horizontal="left"/>
    </xf>
    <xf borderId="4" fillId="12" fontId="3" numFmtId="0" xfId="0" applyAlignment="1" applyBorder="1" applyFont="1">
      <alignment horizontal="left" readingOrder="0"/>
    </xf>
    <xf borderId="6" fillId="12" fontId="3" numFmtId="0" xfId="0" applyAlignment="1" applyBorder="1" applyFont="1">
      <alignment horizontal="left" readingOrder="0"/>
    </xf>
    <xf borderId="7" fillId="12" fontId="3" numFmtId="0" xfId="0" applyAlignment="1" applyBorder="1" applyFont="1">
      <alignment horizontal="left"/>
    </xf>
    <xf borderId="8" fillId="12" fontId="3" numFmtId="0" xfId="0" applyAlignment="1" applyBorder="1" applyFont="1">
      <alignment horizontal="left"/>
    </xf>
    <xf borderId="0" fillId="0" fontId="7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4" fillId="6" fontId="4" numFmtId="164" xfId="0" applyAlignment="1" applyBorder="1" applyFont="1" applyNumberFormat="1">
      <alignment readingOrder="0" shrinkToFit="0" vertical="center" wrapText="0"/>
    </xf>
    <xf borderId="0" fillId="6" fontId="4" numFmtId="0" xfId="0" applyAlignment="1" applyFont="1">
      <alignment horizontal="center" readingOrder="0" shrinkToFit="0" vertical="center" wrapText="0"/>
    </xf>
    <xf borderId="0" fillId="6" fontId="4" numFmtId="165" xfId="0" applyAlignment="1" applyFont="1" applyNumberFormat="1">
      <alignment readingOrder="0" shrinkToFit="0" vertical="center" wrapText="0"/>
    </xf>
    <xf borderId="5" fillId="6" fontId="3" numFmtId="0" xfId="0" applyAlignment="1" applyBorder="1" applyFont="1">
      <alignment horizontal="center" shrinkToFit="0" vertical="center" wrapText="0"/>
    </xf>
    <xf borderId="0" fillId="11" fontId="3" numFmtId="0" xfId="0" applyAlignment="1" applyFont="1">
      <alignment readingOrder="0" shrinkToFit="0" vertical="center" wrapText="0"/>
    </xf>
    <xf borderId="0" fillId="11" fontId="3" numFmtId="165" xfId="0" applyAlignment="1" applyFont="1" applyNumberFormat="1">
      <alignment readingOrder="0" shrinkToFit="0" vertical="center" wrapText="0"/>
    </xf>
    <xf borderId="6" fillId="6" fontId="4" numFmtId="164" xfId="0" applyAlignment="1" applyBorder="1" applyFont="1" applyNumberFormat="1">
      <alignment readingOrder="0" shrinkToFit="0" vertical="center" wrapText="0"/>
    </xf>
    <xf borderId="7" fillId="6" fontId="4" numFmtId="0" xfId="0" applyAlignment="1" applyBorder="1" applyFont="1">
      <alignment horizontal="center" readingOrder="0" shrinkToFit="0" vertical="center" wrapText="0"/>
    </xf>
    <xf borderId="7" fillId="6" fontId="4" numFmtId="165" xfId="0" applyAlignment="1" applyBorder="1" applyFont="1" applyNumberFormat="1">
      <alignment readingOrder="0" shrinkToFit="0" vertical="center" wrapText="0"/>
    </xf>
    <xf borderId="8" fillId="6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5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abe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2" displayName="Consuntivo_CS" name="Consuntivo_CS" id="1">
  <tableColumns count="6">
    <tableColumn name="Data" id="1"/>
    <tableColumn name="Codice Conto" id="2"/>
    <tableColumn name="Descrizione Conto" id="3"/>
    <tableColumn name="Centro di Costo" id="4"/>
    <tableColumn name="Importo (€)" id="5"/>
    <tableColumn name="Macro categoria" id="6"/>
  </tableColumns>
  <tableStyleInfo name="Tabelle-style" showColumnStripes="0" showFirstColumn="1" showLastColumn="1" showRowStripes="1"/>
</table>
</file>

<file path=xl/tables/table2.xml><?xml version="1.0" encoding="utf-8"?>
<table xmlns="http://schemas.openxmlformats.org/spreadsheetml/2006/main" ref="H3:J7" displayName="Anag.conti_CS" name="Anag.conti_CS" id="2">
  <tableColumns count="3">
    <tableColumn name="Macro Categoria" id="1"/>
    <tableColumn name="Budget 2026" id="2"/>
    <tableColumn name="Actual 2026" id="3"/>
  </tableColumns>
  <tableStyleInfo name="Tabelle-style 2" showColumnStripes="0" showFirstColumn="1" showLastColumn="1" showRowStripes="1"/>
</table>
</file>

<file path=xl/tables/table3.xml><?xml version="1.0" encoding="utf-8"?>
<table xmlns="http://schemas.openxmlformats.org/spreadsheetml/2006/main" ref="A15:C18" displayName="CCN_CS" name="CCN_CS" id="3">
  <tableColumns count="3">
    <tableColumn name="Voce" id="1"/>
    <tableColumn name="Data Inizio 01/01" id="2"/>
    <tableColumn name="Data fine 31/01" id="3"/>
  </tableColumns>
  <tableStyleInfo name="Tabelle-style 3" showColumnStripes="0" showFirstColumn="1" showLastColumn="1" showRowStripes="1"/>
</table>
</file>

<file path=xl/tables/table4.xml><?xml version="1.0" encoding="utf-8"?>
<table xmlns="http://schemas.openxmlformats.org/spreadsheetml/2006/main" ref="E15:I21" displayName="EVM" name="EVM" id="4">
  <tableColumns count="5">
    <tableColumn name="Progetto " id="1"/>
    <tableColumn name="BAC " id="2"/>
    <tableColumn name="PV " id="3"/>
    <tableColumn name="AC " id="4"/>
    <tableColumn name="EV " id="5"/>
  </tableColumns>
  <tableStyleInfo name="Tabell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9.88"/>
    <col customWidth="1" min="4" max="4" width="13.63"/>
    <col customWidth="1" min="6" max="6" width="13.75"/>
    <col customWidth="1" min="8" max="8" width="12.0"/>
    <col customWidth="1" min="9" max="9" width="13.13"/>
  </cols>
  <sheetData>
    <row r="1">
      <c r="A1" s="1" t="s">
        <v>0</v>
      </c>
    </row>
    <row r="2">
      <c r="A2" s="2"/>
      <c r="B2" s="2"/>
      <c r="C2" s="2"/>
      <c r="D2" s="2"/>
      <c r="E2" s="2"/>
      <c r="F2" s="3"/>
      <c r="G2" s="4"/>
      <c r="H2" s="2"/>
      <c r="I2" s="5"/>
    </row>
    <row r="3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" t="s">
        <v>6</v>
      </c>
      <c r="H3" s="9" t="s">
        <v>2</v>
      </c>
      <c r="I3" s="10" t="s">
        <v>7</v>
      </c>
    </row>
    <row r="4">
      <c r="A4" s="11">
        <v>46023.0</v>
      </c>
      <c r="B4" s="12">
        <v>41001.0</v>
      </c>
      <c r="C4" s="12" t="s">
        <v>8</v>
      </c>
      <c r="D4" s="12" t="s">
        <v>9</v>
      </c>
      <c r="E4" s="13">
        <v>65000.0</v>
      </c>
      <c r="F4" s="14" t="str">
        <f t="shared" ref="F4:F12" si="1">XLOOKUP(B4,H$4:H$12,I$4:I$12)</f>
        <v>Ricavi</v>
      </c>
      <c r="H4" s="15">
        <v>41001.0</v>
      </c>
      <c r="I4" s="16" t="s">
        <v>10</v>
      </c>
    </row>
    <row r="5">
      <c r="A5" s="11">
        <v>46027.0</v>
      </c>
      <c r="B5" s="12">
        <v>41002.0</v>
      </c>
      <c r="C5" s="12" t="s">
        <v>11</v>
      </c>
      <c r="D5" s="12" t="s">
        <v>9</v>
      </c>
      <c r="E5" s="13">
        <v>35000.0</v>
      </c>
      <c r="F5" s="14" t="str">
        <f t="shared" si="1"/>
        <v>Ricavi</v>
      </c>
      <c r="H5" s="15">
        <v>41002.0</v>
      </c>
      <c r="I5" s="16" t="s">
        <v>10</v>
      </c>
    </row>
    <row r="6">
      <c r="A6" s="11">
        <v>46032.0</v>
      </c>
      <c r="B6" s="12">
        <v>60001.0</v>
      </c>
      <c r="C6" s="12" t="s">
        <v>12</v>
      </c>
      <c r="D6" s="12" t="s">
        <v>13</v>
      </c>
      <c r="E6" s="13">
        <v>-22000.0</v>
      </c>
      <c r="F6" s="14" t="str">
        <f t="shared" si="1"/>
        <v>Costi materie</v>
      </c>
      <c r="H6" s="15">
        <v>60001.0</v>
      </c>
      <c r="I6" s="16" t="s">
        <v>14</v>
      </c>
    </row>
    <row r="7">
      <c r="A7" s="11">
        <v>46034.0</v>
      </c>
      <c r="B7" s="12">
        <v>60002.0</v>
      </c>
      <c r="C7" s="12" t="s">
        <v>15</v>
      </c>
      <c r="D7" s="12" t="s">
        <v>13</v>
      </c>
      <c r="E7" s="13">
        <v>-8000.0</v>
      </c>
      <c r="F7" s="14" t="str">
        <f t="shared" si="1"/>
        <v>Costi materie</v>
      </c>
      <c r="H7" s="15">
        <v>60002.0</v>
      </c>
      <c r="I7" s="16" t="s">
        <v>14</v>
      </c>
    </row>
    <row r="8">
      <c r="A8" s="11">
        <v>46037.0</v>
      </c>
      <c r="B8" s="12">
        <v>70001.0</v>
      </c>
      <c r="C8" s="12" t="s">
        <v>16</v>
      </c>
      <c r="D8" s="12" t="s">
        <v>17</v>
      </c>
      <c r="E8" s="13">
        <v>-2500.0</v>
      </c>
      <c r="F8" s="14" t="str">
        <f t="shared" si="1"/>
        <v>Costi servizi</v>
      </c>
      <c r="H8" s="15">
        <v>70001.0</v>
      </c>
      <c r="I8" s="16" t="s">
        <v>18</v>
      </c>
    </row>
    <row r="9">
      <c r="A9" s="11">
        <v>46040.0</v>
      </c>
      <c r="B9" s="12">
        <v>70002.0</v>
      </c>
      <c r="C9" s="12" t="s">
        <v>19</v>
      </c>
      <c r="D9" s="12" t="s">
        <v>13</v>
      </c>
      <c r="E9" s="13">
        <v>-4500.0</v>
      </c>
      <c r="F9" s="14" t="str">
        <f t="shared" si="1"/>
        <v>Costi servizi</v>
      </c>
      <c r="H9" s="15">
        <v>70002.0</v>
      </c>
      <c r="I9" s="16" t="s">
        <v>18</v>
      </c>
    </row>
    <row r="10">
      <c r="A10" s="11">
        <v>46042.0</v>
      </c>
      <c r="B10" s="12">
        <v>70003.0</v>
      </c>
      <c r="C10" s="12" t="s">
        <v>20</v>
      </c>
      <c r="D10" s="12" t="s">
        <v>13</v>
      </c>
      <c r="E10" s="13">
        <v>-3000.0</v>
      </c>
      <c r="F10" s="14" t="str">
        <f t="shared" si="1"/>
        <v>Costi servizi</v>
      </c>
      <c r="H10" s="15">
        <v>70003.0</v>
      </c>
      <c r="I10" s="16" t="s">
        <v>18</v>
      </c>
    </row>
    <row r="11">
      <c r="A11" s="11">
        <v>46047.0</v>
      </c>
      <c r="B11" s="12">
        <v>80001.0</v>
      </c>
      <c r="C11" s="12" t="s">
        <v>21</v>
      </c>
      <c r="D11" s="12" t="s">
        <v>22</v>
      </c>
      <c r="E11" s="13">
        <v>-25000.0</v>
      </c>
      <c r="F11" s="14" t="str">
        <f t="shared" si="1"/>
        <v>Costo personale</v>
      </c>
      <c r="H11" s="15">
        <v>80001.0</v>
      </c>
      <c r="I11" s="16" t="s">
        <v>23</v>
      </c>
    </row>
    <row r="12">
      <c r="A12" s="17">
        <v>46050.0</v>
      </c>
      <c r="B12" s="18">
        <v>90001.0</v>
      </c>
      <c r="C12" s="18" t="s">
        <v>24</v>
      </c>
      <c r="D12" s="18" t="s">
        <v>13</v>
      </c>
      <c r="E12" s="19">
        <v>-5000.0</v>
      </c>
      <c r="F12" s="20" t="str">
        <f t="shared" si="1"/>
        <v>Ammortamenti</v>
      </c>
      <c r="H12" s="21">
        <v>90001.0</v>
      </c>
      <c r="I12" s="22" t="s">
        <v>25</v>
      </c>
    </row>
    <row r="15">
      <c r="A15" s="23" t="s">
        <v>26</v>
      </c>
      <c r="B15" s="24">
        <f>SUMIFS(E4:E12,F4:F12,"Ricavi")</f>
        <v>100000</v>
      </c>
    </row>
    <row r="16">
      <c r="A16" s="25" t="s">
        <v>27</v>
      </c>
      <c r="B16" s="26">
        <f>SUMIFS(E4:E12,F4:F12,"Costi materie") + SUMIFS(E4:E12,F4:F12,"Costi servizi")</f>
        <v>-40000</v>
      </c>
    </row>
    <row r="17">
      <c r="A17" s="25" t="s">
        <v>28</v>
      </c>
      <c r="B17" s="26">
        <f>B15+B16</f>
        <v>60000</v>
      </c>
    </row>
    <row r="18">
      <c r="A18" s="25" t="s">
        <v>23</v>
      </c>
      <c r="B18" s="26">
        <f>SUMIFS(E4:E12,F4:F12,"Costo personale")</f>
        <v>-25000</v>
      </c>
    </row>
    <row r="19">
      <c r="A19" s="27" t="s">
        <v>29</v>
      </c>
      <c r="B19" s="28">
        <f>B17+B18</f>
        <v>35000</v>
      </c>
    </row>
    <row r="20">
      <c r="A20" s="29" t="s">
        <v>30</v>
      </c>
      <c r="B20" s="30">
        <f>B19/B15</f>
        <v>0.35</v>
      </c>
    </row>
  </sheetData>
  <mergeCells count="1">
    <mergeCell ref="A1:I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19.0"/>
    <col customWidth="1" min="5" max="5" width="13.38"/>
  </cols>
  <sheetData>
    <row r="1">
      <c r="A1" s="31" t="s">
        <v>31</v>
      </c>
    </row>
    <row r="2">
      <c r="H2" s="32"/>
    </row>
    <row r="3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H3" s="34"/>
    </row>
    <row r="4">
      <c r="A4" s="35" t="s">
        <v>10</v>
      </c>
      <c r="B4" s="36">
        <v>110000.0</v>
      </c>
      <c r="C4" s="36">
        <v>100000.0</v>
      </c>
      <c r="D4" s="37">
        <f t="shared" ref="D4:D7" si="1">C4-B4</f>
        <v>-10000</v>
      </c>
      <c r="E4" s="38">
        <f t="shared" ref="E4:E7" si="2">(C4-B4)/ABS(B4)</f>
        <v>-0.09090909091</v>
      </c>
    </row>
    <row r="5">
      <c r="A5" s="35" t="s">
        <v>37</v>
      </c>
      <c r="B5" s="36">
        <v>-25000.0</v>
      </c>
      <c r="C5" s="36">
        <v>-30000.0</v>
      </c>
      <c r="D5" s="37">
        <f t="shared" si="1"/>
        <v>-5000</v>
      </c>
      <c r="E5" s="38">
        <f t="shared" si="2"/>
        <v>-0.2</v>
      </c>
    </row>
    <row r="6">
      <c r="A6" s="35" t="s">
        <v>18</v>
      </c>
      <c r="B6" s="36">
        <v>-8000.0</v>
      </c>
      <c r="C6" s="36">
        <v>-10000.0</v>
      </c>
      <c r="D6" s="37">
        <f t="shared" si="1"/>
        <v>-2000</v>
      </c>
      <c r="E6" s="38">
        <f t="shared" si="2"/>
        <v>-0.25</v>
      </c>
    </row>
    <row r="7">
      <c r="A7" s="35" t="s">
        <v>38</v>
      </c>
      <c r="B7" s="36">
        <v>-25000.0</v>
      </c>
      <c r="C7" s="36">
        <v>-25000.0</v>
      </c>
      <c r="D7" s="37">
        <f t="shared" si="1"/>
        <v>0</v>
      </c>
      <c r="E7" s="38">
        <f t="shared" si="2"/>
        <v>0</v>
      </c>
    </row>
    <row r="10">
      <c r="A10" s="39" t="s">
        <v>39</v>
      </c>
      <c r="B10" s="40">
        <f>SUM(B4:B7)</f>
        <v>52000</v>
      </c>
      <c r="C10" s="41">
        <f>B10/B4</f>
        <v>0.4727272727</v>
      </c>
    </row>
    <row r="11">
      <c r="A11" s="39" t="s">
        <v>40</v>
      </c>
      <c r="B11" s="40">
        <f>SUM(C4:C7)</f>
        <v>35000</v>
      </c>
      <c r="C11" s="41">
        <f>B11/C4</f>
        <v>0.35</v>
      </c>
    </row>
    <row r="12">
      <c r="A12" s="42" t="s">
        <v>41</v>
      </c>
      <c r="B12" s="43">
        <f t="shared" ref="B12:C12" si="3">B10-B11</f>
        <v>17000</v>
      </c>
      <c r="C12" s="44">
        <f t="shared" si="3"/>
        <v>0.1227272727</v>
      </c>
    </row>
  </sheetData>
  <mergeCells count="1">
    <mergeCell ref="A1:E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45" t="s">
        <v>42</v>
      </c>
      <c r="B1" s="46"/>
      <c r="C1" s="46"/>
      <c r="D1" s="47"/>
      <c r="E1" s="48"/>
      <c r="F1" s="49" t="s">
        <v>43</v>
      </c>
      <c r="G1" s="50"/>
      <c r="H1" s="50"/>
      <c r="I1" s="51"/>
    </row>
    <row r="2">
      <c r="A2" s="52" t="s">
        <v>44</v>
      </c>
      <c r="B2" s="53"/>
      <c r="C2" s="53"/>
      <c r="D2" s="54"/>
      <c r="F2" s="55" t="s">
        <v>45</v>
      </c>
      <c r="I2" s="56">
        <f>30000</f>
        <v>30000</v>
      </c>
    </row>
    <row r="3">
      <c r="A3" s="52" t="s">
        <v>46</v>
      </c>
      <c r="B3" s="53"/>
      <c r="C3" s="53"/>
      <c r="D3" s="54"/>
      <c r="F3" s="57"/>
      <c r="I3" s="58"/>
    </row>
    <row r="4">
      <c r="A4" s="59" t="s">
        <v>47</v>
      </c>
      <c r="B4" s="60"/>
      <c r="C4" s="60"/>
      <c r="D4" s="61"/>
      <c r="F4" s="62" t="s">
        <v>48</v>
      </c>
      <c r="I4" s="56">
        <f>2000</f>
        <v>2000</v>
      </c>
    </row>
    <row r="5">
      <c r="F5" s="57"/>
      <c r="I5" s="58"/>
    </row>
    <row r="6">
      <c r="F6" s="62" t="s">
        <v>49</v>
      </c>
      <c r="I6" s="63">
        <f>25000</f>
        <v>25000</v>
      </c>
    </row>
    <row r="7">
      <c r="F7" s="57"/>
      <c r="I7" s="58"/>
    </row>
    <row r="8">
      <c r="F8" s="64" t="s">
        <v>50</v>
      </c>
      <c r="G8" s="65"/>
      <c r="H8" s="65"/>
      <c r="I8" s="66">
        <f>I2+I4-I6</f>
        <v>7000</v>
      </c>
    </row>
    <row r="10">
      <c r="A10" s="67" t="s">
        <v>51</v>
      </c>
      <c r="C10" s="68" t="s">
        <v>52</v>
      </c>
      <c r="D10" s="69">
        <f>'Analisi Scostamenti'!B11</f>
        <v>35000</v>
      </c>
    </row>
    <row r="11">
      <c r="C11" s="70" t="s">
        <v>53</v>
      </c>
      <c r="D11" s="70" t="s">
        <v>53</v>
      </c>
    </row>
    <row r="12">
      <c r="C12" s="68" t="s">
        <v>54</v>
      </c>
      <c r="D12" s="69">
        <f>I8</f>
        <v>7000</v>
      </c>
    </row>
    <row r="13">
      <c r="C13" s="71" t="s">
        <v>55</v>
      </c>
      <c r="D13" s="72">
        <f>D10-D12</f>
        <v>28000</v>
      </c>
    </row>
  </sheetData>
  <mergeCells count="5">
    <mergeCell ref="F2:H2"/>
    <mergeCell ref="F4:H4"/>
    <mergeCell ref="F6:H6"/>
    <mergeCell ref="F8:H8"/>
    <mergeCell ref="A10:B10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7.63"/>
    <col customWidth="1" min="5" max="5" width="15.75"/>
    <col customWidth="1" min="6" max="6" width="15.13"/>
  </cols>
  <sheetData>
    <row r="1">
      <c r="A1" s="31" t="s">
        <v>56</v>
      </c>
    </row>
    <row r="3">
      <c r="A3" s="73" t="s">
        <v>57</v>
      </c>
      <c r="B3" s="74">
        <v>80000.0</v>
      </c>
      <c r="D3" s="75" t="s">
        <v>58</v>
      </c>
      <c r="F3" s="76">
        <f>ROUND(B6/B5,2)</f>
        <v>0.54</v>
      </c>
    </row>
    <row r="4">
      <c r="A4" s="73" t="s">
        <v>59</v>
      </c>
      <c r="B4" s="74">
        <v>50000.0</v>
      </c>
      <c r="D4" s="75" t="s">
        <v>60</v>
      </c>
      <c r="F4" s="77">
        <f>ROUND(B6/B4,2)</f>
        <v>0.7</v>
      </c>
    </row>
    <row r="5">
      <c r="A5" s="73" t="s">
        <v>61</v>
      </c>
      <c r="B5" s="78">
        <f>ABS('Conto Economico'!B16 + 'Conto Economico'!B18)</f>
        <v>65000</v>
      </c>
      <c r="D5" s="75" t="s">
        <v>62</v>
      </c>
      <c r="F5" s="40">
        <f>ROUND(B3/F3,0)</f>
        <v>148148</v>
      </c>
    </row>
    <row r="6">
      <c r="A6" s="73" t="s">
        <v>63</v>
      </c>
      <c r="B6" s="74">
        <v>35000.0</v>
      </c>
    </row>
    <row r="8">
      <c r="A8" s="79" t="s">
        <v>64</v>
      </c>
      <c r="B8" s="80"/>
      <c r="C8" s="81"/>
    </row>
    <row r="9">
      <c r="A9" s="82" t="s">
        <v>65</v>
      </c>
      <c r="B9" s="83"/>
      <c r="C9" s="84"/>
    </row>
    <row r="10">
      <c r="A10" s="85" t="s">
        <v>66</v>
      </c>
      <c r="B10" s="83"/>
      <c r="C10" s="84"/>
    </row>
    <row r="11">
      <c r="A11" s="82" t="s">
        <v>67</v>
      </c>
      <c r="B11" s="83"/>
      <c r="C11" s="84"/>
    </row>
    <row r="12">
      <c r="A12" s="82" t="s">
        <v>68</v>
      </c>
      <c r="B12" s="83"/>
      <c r="C12" s="84"/>
    </row>
    <row r="13">
      <c r="A13" s="82" t="s">
        <v>69</v>
      </c>
      <c r="B13" s="83"/>
      <c r="C13" s="84"/>
    </row>
    <row r="14">
      <c r="A14" s="86" t="s">
        <v>70</v>
      </c>
      <c r="B14" s="87"/>
      <c r="C14" s="88"/>
    </row>
  </sheetData>
  <mergeCells count="4">
    <mergeCell ref="A1:F1"/>
    <mergeCell ref="D3:E3"/>
    <mergeCell ref="D4:E4"/>
    <mergeCell ref="D5:E5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1.13"/>
    <col customWidth="1" min="4" max="4" width="18.13"/>
    <col customWidth="1" min="5" max="5" width="22.13"/>
    <col customWidth="1" min="6" max="6" width="17.75"/>
    <col customWidth="1" min="7" max="7" width="13.0"/>
    <col customWidth="1" min="8" max="8" width="18.0"/>
    <col customWidth="1" min="9" max="9" width="18.38"/>
    <col customWidth="1" min="10" max="10" width="17.75"/>
  </cols>
  <sheetData>
    <row r="3" ht="22.5" customHeight="1">
      <c r="A3" s="89" t="s">
        <v>1</v>
      </c>
      <c r="B3" s="89" t="s">
        <v>2</v>
      </c>
      <c r="C3" s="89" t="s">
        <v>3</v>
      </c>
      <c r="D3" s="89" t="s">
        <v>4</v>
      </c>
      <c r="E3" s="89" t="s">
        <v>5</v>
      </c>
      <c r="F3" s="90" t="s">
        <v>6</v>
      </c>
      <c r="H3" s="91" t="s">
        <v>32</v>
      </c>
      <c r="I3" s="91" t="s">
        <v>33</v>
      </c>
      <c r="J3" s="91" t="s">
        <v>34</v>
      </c>
    </row>
    <row r="4" ht="22.5" customHeight="1">
      <c r="A4" s="92">
        <v>46023.0</v>
      </c>
      <c r="B4" s="93">
        <v>41001.0</v>
      </c>
      <c r="C4" s="93" t="s">
        <v>8</v>
      </c>
      <c r="D4" s="93" t="s">
        <v>9</v>
      </c>
      <c r="E4" s="94">
        <v>65000.0</v>
      </c>
      <c r="F4" s="95" t="s">
        <v>10</v>
      </c>
      <c r="H4" s="96" t="s">
        <v>10</v>
      </c>
      <c r="I4" s="97">
        <v>110000.0</v>
      </c>
      <c r="J4" s="97">
        <v>100000.0</v>
      </c>
    </row>
    <row r="5" ht="22.5" customHeight="1">
      <c r="A5" s="92">
        <v>46027.0</v>
      </c>
      <c r="B5" s="93">
        <v>41002.0</v>
      </c>
      <c r="C5" s="93" t="s">
        <v>11</v>
      </c>
      <c r="D5" s="93" t="s">
        <v>9</v>
      </c>
      <c r="E5" s="94">
        <v>35000.0</v>
      </c>
      <c r="F5" s="95" t="s">
        <v>10</v>
      </c>
      <c r="H5" s="96" t="s">
        <v>37</v>
      </c>
      <c r="I5" s="97">
        <v>-25000.0</v>
      </c>
      <c r="J5" s="97">
        <v>-30000.0</v>
      </c>
    </row>
    <row r="6" ht="22.5" customHeight="1">
      <c r="A6" s="92">
        <v>46032.0</v>
      </c>
      <c r="B6" s="93">
        <v>60001.0</v>
      </c>
      <c r="C6" s="93" t="s">
        <v>12</v>
      </c>
      <c r="D6" s="93" t="s">
        <v>13</v>
      </c>
      <c r="E6" s="94">
        <v>-22000.0</v>
      </c>
      <c r="F6" s="95" t="s">
        <v>14</v>
      </c>
      <c r="H6" s="96" t="s">
        <v>18</v>
      </c>
      <c r="I6" s="97">
        <v>-8000.0</v>
      </c>
      <c r="J6" s="97">
        <v>-10000.0</v>
      </c>
    </row>
    <row r="7" ht="22.5" customHeight="1">
      <c r="A7" s="92">
        <v>46034.0</v>
      </c>
      <c r="B7" s="93">
        <v>60002.0</v>
      </c>
      <c r="C7" s="93" t="s">
        <v>15</v>
      </c>
      <c r="D7" s="93" t="s">
        <v>13</v>
      </c>
      <c r="E7" s="94">
        <v>-8000.0</v>
      </c>
      <c r="F7" s="95" t="s">
        <v>14</v>
      </c>
      <c r="H7" s="96" t="s">
        <v>38</v>
      </c>
      <c r="I7" s="97">
        <v>-25000.0</v>
      </c>
      <c r="J7" s="97">
        <v>-25000.0</v>
      </c>
    </row>
    <row r="8" ht="22.5" customHeight="1">
      <c r="A8" s="92">
        <v>46037.0</v>
      </c>
      <c r="B8" s="93">
        <v>70001.0</v>
      </c>
      <c r="C8" s="93" t="s">
        <v>16</v>
      </c>
      <c r="D8" s="93" t="s">
        <v>17</v>
      </c>
      <c r="E8" s="94">
        <v>-2500.0</v>
      </c>
      <c r="F8" s="95" t="s">
        <v>18</v>
      </c>
    </row>
    <row r="9" ht="22.5" customHeight="1">
      <c r="A9" s="92">
        <v>46040.0</v>
      </c>
      <c r="B9" s="93">
        <v>70002.0</v>
      </c>
      <c r="C9" s="93" t="s">
        <v>19</v>
      </c>
      <c r="D9" s="93" t="s">
        <v>13</v>
      </c>
      <c r="E9" s="94">
        <v>-4500.0</v>
      </c>
      <c r="F9" s="95" t="s">
        <v>18</v>
      </c>
    </row>
    <row r="10" ht="22.5" customHeight="1">
      <c r="A10" s="92">
        <v>46042.0</v>
      </c>
      <c r="B10" s="93">
        <v>70003.0</v>
      </c>
      <c r="C10" s="93" t="s">
        <v>20</v>
      </c>
      <c r="D10" s="93" t="s">
        <v>13</v>
      </c>
      <c r="E10" s="94">
        <v>-3000.0</v>
      </c>
      <c r="F10" s="95" t="s">
        <v>18</v>
      </c>
    </row>
    <row r="11" ht="22.5" customHeight="1">
      <c r="A11" s="92">
        <v>46047.0</v>
      </c>
      <c r="B11" s="93">
        <v>80001.0</v>
      </c>
      <c r="C11" s="93" t="s">
        <v>21</v>
      </c>
      <c r="D11" s="93" t="s">
        <v>22</v>
      </c>
      <c r="E11" s="94">
        <v>-25000.0</v>
      </c>
      <c r="F11" s="95" t="s">
        <v>23</v>
      </c>
    </row>
    <row r="12" ht="22.5" customHeight="1">
      <c r="A12" s="98">
        <v>46050.0</v>
      </c>
      <c r="B12" s="99">
        <v>90001.0</v>
      </c>
      <c r="C12" s="99" t="s">
        <v>24</v>
      </c>
      <c r="D12" s="99" t="s">
        <v>13</v>
      </c>
      <c r="E12" s="100">
        <v>-5000.0</v>
      </c>
      <c r="F12" s="101" t="s">
        <v>25</v>
      </c>
    </row>
    <row r="15" ht="22.5" customHeight="1">
      <c r="A15" s="102" t="s">
        <v>71</v>
      </c>
      <c r="B15" s="103" t="s">
        <v>72</v>
      </c>
      <c r="C15" s="103" t="s">
        <v>73</v>
      </c>
      <c r="D15" s="32"/>
      <c r="E15" s="104" t="s">
        <v>74</v>
      </c>
      <c r="F15" s="104" t="s">
        <v>75</v>
      </c>
      <c r="G15" s="104" t="s">
        <v>76</v>
      </c>
      <c r="H15" s="104" t="s">
        <v>77</v>
      </c>
      <c r="I15" s="104" t="s">
        <v>78</v>
      </c>
    </row>
    <row r="16" ht="22.5" customHeight="1">
      <c r="A16" s="105" t="s">
        <v>79</v>
      </c>
      <c r="B16" s="106">
        <v>50000.0</v>
      </c>
      <c r="C16" s="106">
        <v>80000.0</v>
      </c>
      <c r="D16" s="107"/>
      <c r="E16" s="108" t="s">
        <v>80</v>
      </c>
      <c r="F16" s="109">
        <v>80000.0</v>
      </c>
      <c r="G16" s="109">
        <v>50000.0</v>
      </c>
      <c r="H16" s="109">
        <v>65000.0</v>
      </c>
      <c r="I16" s="109">
        <v>35000.0</v>
      </c>
    </row>
    <row r="17" ht="22.5" customHeight="1">
      <c r="A17" s="110" t="s">
        <v>81</v>
      </c>
      <c r="B17" s="106">
        <v>10000.0</v>
      </c>
      <c r="C17" s="106">
        <v>12000.0</v>
      </c>
      <c r="E17" s="108" t="s">
        <v>82</v>
      </c>
      <c r="F17" s="109">
        <v>120000.0</v>
      </c>
      <c r="G17" s="109">
        <v>60000.0</v>
      </c>
      <c r="H17" s="109">
        <v>55000.0</v>
      </c>
      <c r="I17" s="109">
        <v>70000.0</v>
      </c>
      <c r="J17" s="111"/>
    </row>
    <row r="18" ht="22.5" customHeight="1">
      <c r="A18" s="110" t="s">
        <v>83</v>
      </c>
      <c r="B18" s="106">
        <v>20000.0</v>
      </c>
      <c r="C18" s="106">
        <v>45000.0</v>
      </c>
      <c r="E18" s="108" t="s">
        <v>84</v>
      </c>
      <c r="F18" s="109">
        <v>45000.0</v>
      </c>
      <c r="G18" s="109">
        <v>40000.0</v>
      </c>
      <c r="H18" s="109">
        <v>42000.0</v>
      </c>
      <c r="I18" s="109">
        <v>40000.0</v>
      </c>
      <c r="J18" s="112"/>
    </row>
    <row r="19" ht="22.5" customHeight="1">
      <c r="E19" s="108" t="s">
        <v>85</v>
      </c>
      <c r="F19" s="109">
        <v>30000.0</v>
      </c>
      <c r="G19" s="109">
        <v>25000.0</v>
      </c>
      <c r="H19" s="109">
        <v>28000.0</v>
      </c>
      <c r="I19" s="109">
        <v>15000.0</v>
      </c>
      <c r="J19" s="112"/>
    </row>
    <row r="20" ht="22.5" customHeight="1">
      <c r="E20" s="108" t="s">
        <v>86</v>
      </c>
      <c r="F20" s="109">
        <v>100000.0</v>
      </c>
      <c r="G20" s="109">
        <v>50000.0</v>
      </c>
      <c r="H20" s="109">
        <v>50000.0</v>
      </c>
      <c r="I20" s="109">
        <v>50000.0</v>
      </c>
      <c r="J20" s="112"/>
    </row>
    <row r="21" ht="22.5" customHeight="1">
      <c r="E21" s="108" t="s">
        <v>87</v>
      </c>
      <c r="F21" s="109">
        <v>200000.0</v>
      </c>
      <c r="G21" s="109">
        <v>150000.0</v>
      </c>
      <c r="H21" s="109">
        <v>180000.0</v>
      </c>
      <c r="I21" s="109">
        <v>160000.0</v>
      </c>
      <c r="J21" s="112"/>
    </row>
    <row r="22">
      <c r="J22" s="112"/>
    </row>
  </sheetData>
  <dataValidations>
    <dataValidation type="custom" allowBlank="1" showDropDown="1" sqref="A4:A12">
      <formula1>OR(NOT(ISERROR(DATEVALUE(A4))), AND(ISNUMBER(A4), LEFT(CELL("format", A4))="D"))</formula1>
    </dataValidation>
    <dataValidation type="custom" allowBlank="1" showDropDown="1" sqref="I4:J7 E4:E12 B16:C18 F16:I21">
      <formula1>AND(ISNUMBER(B4),(NOT(OR(NOT(ISERROR(DATEVALUE(B4))), AND(ISNUMBER(B4), LEFT(CELL("format", B4))="D")))))</formula1>
    </dataValidation>
  </dataValidations>
  <drawing r:id="rId1"/>
  <tableParts count="4">
    <tablePart r:id="rId6"/>
    <tablePart r:id="rId7"/>
    <tablePart r:id="rId8"/>
    <tablePart r:id="rId9"/>
  </tableParts>
</worksheet>
</file>